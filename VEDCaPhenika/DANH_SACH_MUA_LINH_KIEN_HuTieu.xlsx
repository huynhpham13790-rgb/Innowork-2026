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VEDCaPhenika\"/>
    </mc:Choice>
  </mc:AlternateContent>
  <xr:revisionPtr revIDLastSave="0" documentId="13_ncr:1_{E64E3997-CFB0-40B5-AA04-1E33149407F3}" xr6:coauthVersionLast="47" xr6:coauthVersionMax="47" xr10:uidLastSave="{00000000-0000-0000-0000-000000000000}"/>
  <bookViews>
    <workbookView xWindow="-120" yWindow="-120" windowWidth="29040" windowHeight="15720" xr2:uid="{00000000-000D-0000-FFFF-FFFF00000000}"/>
  </bookViews>
  <sheets>
    <sheet name="ĐỢT 1 - Mua ngay" sheetId="1" r:id="rId1"/>
    <sheet name="ĐỢT 2 - Hoãn được" sheetId="2" r:id="rId2"/>
    <sheet name="LƯU Ý QUAN TRỌNG" sheetId="3" r:id="rId3"/>
  </sheets>
  <calcPr calcId="191029"/>
</workbook>
</file>

<file path=xl/calcChain.xml><?xml version="1.0" encoding="utf-8"?>
<calcChain xmlns="http://schemas.openxmlformats.org/spreadsheetml/2006/main">
  <c r="G16" i="2" l="1"/>
  <c r="G15" i="2"/>
  <c r="G17" i="2" s="1"/>
  <c r="G14" i="2"/>
  <c r="G13" i="2"/>
  <c r="G11" i="2"/>
  <c r="G10" i="2"/>
  <c r="G8" i="2"/>
  <c r="G7" i="2"/>
  <c r="G6" i="2"/>
  <c r="G29" i="1"/>
  <c r="G28" i="1"/>
  <c r="G27" i="1"/>
  <c r="G26" i="1"/>
  <c r="G24" i="1"/>
  <c r="G23" i="1"/>
  <c r="G21" i="1"/>
  <c r="G20" i="1"/>
  <c r="G19" i="1"/>
  <c r="G18" i="1"/>
  <c r="G17" i="1"/>
  <c r="G15" i="1"/>
  <c r="G14" i="1"/>
  <c r="G13" i="1"/>
  <c r="G11" i="1"/>
  <c r="G10" i="1"/>
  <c r="G9" i="1"/>
  <c r="G7" i="1"/>
  <c r="G6" i="1"/>
</calcChain>
</file>

<file path=xl/sharedStrings.xml><?xml version="1.0" encoding="utf-8"?>
<sst xmlns="http://schemas.openxmlformats.org/spreadsheetml/2006/main" count="239" uniqueCount="162">
  <si>
    <t>ĐỢT 1 — BẮT BUỘC MUA TRƯỚC (đủ để chạy demo bán kết 15/09/2026)</t>
  </si>
  <si>
    <t>Đội Hủ Tiếu — ICTU | AIoT InnoWorks 2026 | Lập ngày 05/09/2026 | Giá tham khảo, phải xác nhận lại với shop</t>
  </si>
  <si>
    <t>#</t>
  </si>
  <si>
    <t>Nhóm</t>
  </si>
  <si>
    <t>Tên linh kiện (tên để tìm/đặt hàng)</t>
  </si>
  <si>
    <t>SL</t>
  </si>
  <si>
    <t>Shop đề xuất</t>
  </si>
  <si>
    <t>Giá/cái (₫)</t>
  </si>
  <si>
    <t>Thành tiền (₫)</t>
  </si>
  <si>
    <t>Link sản phẩm</t>
  </si>
  <si>
    <t>⚠️ Biến thể PHẢI chọn / Ghi chú</t>
  </si>
  <si>
    <t>HĐ đỏ?</t>
  </si>
  <si>
    <t>A. BỘ NÃO — không có cái này thì không làm được gì (mua đầu tiên)</t>
  </si>
  <si>
    <t>A. Vi điều khiển</t>
  </si>
  <si>
    <t>ESP32-S3-DevKitC-1 N16R8 (16MB Flash / 8MB PSRAM)</t>
  </si>
  <si>
    <t>icdayroi.com</t>
  </si>
  <si>
    <t>https://icdayroi.com/kit-esp32-s3-devkitc-1-n16r8</t>
  </si>
  <si>
    <t>⚠️ PHẢI chọn đúng biến thể N16R8. Bản N8R2 / N8R8 KHÔNG đủ Flash cho buffer offline. Mua 2 cái: 1 chạy, 1 dự phòng — cháy 1 board sát ngày là hỏng cả cuộc thi.</t>
  </si>
  <si>
    <t>Cần hỏi</t>
  </si>
  <si>
    <t>(DỰ PHÒNG — chỉ mua nếu món #1 hết hàng) MKE-K01 ESP32-S3 N16R8</t>
  </si>
  <si>
    <t>hshop.vn</t>
  </si>
  <si>
    <t>https://hshop.vn/</t>
  </si>
  <si>
    <t>SL để 0 nên KHÔNG tính vào tổng. Dùng chip nạp CH343P (không phải CP2102) → phải cài driver CH343 riêng. GPIO35/36/37 đã bị PSRAM chiếm, không dùng được. Chỉ đổi SL thành 2 khi món #1 hết hàng.</t>
  </si>
  <si>
    <t>B. CẢM BIẾN NHIỆT — trái tim của đề tài, thiếu là không có dữ liệu</t>
  </si>
  <si>
    <t>B. Cảm biến</t>
  </si>
  <si>
    <t>DS18B20 loại đầu dò thép chống nước, dây 1m (6x50mm)</t>
  </si>
  <si>
    <t>nshopvn.com</t>
  </si>
  <si>
    <t>https://nshopvn.com/product/cam-bien-nhiet-do-ds18b20-chong-nuoc/</t>
  </si>
  <si>
    <t>8 con gắn 8 cell + 2 con dự phòng (dễ đứt dây khi hàn). Loại đầu dò TRỤ áp vào cell TRÒN chỉ tiếp xúc theo ĐƯỜNG → bắt buộc phải bôi keo tản nhiệt vào khe.</t>
  </si>
  <si>
    <t>Điện trở 4.7kΩ 1/4W (pull-up cho bus 1-Wire)</t>
  </si>
  <si>
    <t>https://icdayroi.com/dien-tro-4-7k-1-4w</t>
  </si>
  <si>
    <t>⚠️ Listing thường bán theo dải giá trị — PHẢI chọn đúng 4K7. Mua thêm 20 con 2K2 phòng khi bus dài bị lỗi CRC thì hạ trở kéo xuống.</t>
  </si>
  <si>
    <t>Điện trở 2.2kΩ 1/4W (dự phòng cho bus dài)</t>
  </si>
  <si>
    <t>https://icdayroi.com/dien-tro-2-2k-1-4w</t>
  </si>
  <si>
    <t>Chỉ dùng nếu 4K7 bị lỗi đọc. Rẻ, mua kèm luôn cho đỡ phải đặt lần 2.</t>
  </si>
  <si>
    <t>C. PACK PIN THÍ NGHIỆM 8S — đối tượng đo</t>
  </si>
  <si>
    <t>C. Pack pin</t>
  </si>
  <si>
    <t>Cell 18650 Samsung INR18650-25R 2500mAh 20A (CHÍNH HÃNG, CÙNG LÔ)</t>
  </si>
  <si>
    <t>https://nshopvn.com/product/pin-18650-samsung-25r-2500mah/</t>
  </si>
  <si>
    <t>⚠️ PHẢI mua 1 lần 10 viên CÙNG LÔ. Cell lệch nội trở sẽ tự sinh nhiệt khác nhau ngay từ đầu → Autoencoder học phải nhiễu thay vì học dị thường. LG HG2 tốt hơn nhưng shop có HĐ đỏ không bán.</t>
  </si>
  <si>
    <t>Đế/hộp nhựa giữ 4 cell 18650 NỐI TIẾP (không có pin bên trong)</t>
  </si>
  <si>
    <t>⚠️ Listing có option 1/2/3/4 cell và nối tiếp/song song — PHẢI chọn '4 cell NỐI TIẾP'. Chọn nhầm song song là sai toàn bộ mạch. 2 đế nối tiếp nhau = 8S.</t>
  </si>
  <si>
    <t>Sạc pin 18650 rời đa năng LiitoKala Lii-500 (4 khe, đo dung lượng + nội trở)</t>
  </si>
  <si>
    <t>https://nshopvn.com/product/bo-sac-pin-liitokala-lii-500/</t>
  </si>
  <si>
    <t>⚠️ MÓN QUAN TRỌNG NGẦM. Ngoài sạc, nó ĐO ĐƯỢC NỘI TRỞ từng viên → dùng để CHỌN 8 viên đồng đều nhất trong 10 viên. Đây chính là việc mà cả đề tài phụ thuộc vào.</t>
  </si>
  <si>
    <t>D. BƠM NHIỆT (tạo dị thường để demo) — không có thì không có gì để phát hiện</t>
  </si>
  <si>
    <t>D. Sưởi</t>
  </si>
  <si>
    <t>Điện trở sứ công suất 10W — GIÁ TRỊ 10R (10 Ohm)</t>
  </si>
  <si>
    <t>https://icdayroi.com/dien-tro-su-10w-10r</t>
  </si>
  <si>
    <t>⚠️ CHỌN ĐÚNG 10R. KHÔNG mua 1R/2R (5V đã ăn 25W/12,5W → cháy). 10R ở 5V=2,5W (sưởi chậm), 7V=4,9W (tốc độ demo tốt nhất), 10V=10W (kịch trần).</t>
  </si>
  <si>
    <t>Điện trở sứ 10W — 5R và 20R (mỗi loại 2 con, để thử dải công suất)</t>
  </si>
  <si>
    <t>https://icdayroi.com/dien-tro-su-10w</t>
  </si>
  <si>
    <t>Tùy chọn. Gọi hỏi tồn kho trước — nhiều shop chỉ có 5R ở loại 25W. Không có cũng không sao, 10R là đủ.</t>
  </si>
  <si>
    <t>Module MOSFET công suất HA210N06 (kích mức logic 3.3V thật)</t>
  </si>
  <si>
    <t>⚠️ ĐỪNG chỉ mua IRF520. IRF520 có Vgs(th) tới 4V → ESP32 3.3V kích không mở hết, MOSFET nóng và điện trở sưởi không đủ nhiệt. Mua cả 2 loại rồi thử.</t>
  </si>
  <si>
    <t>Module MOSFET IRF520 (mua kèm để đối chứng, rẻ)</t>
  </si>
  <si>
    <t>https://icdayroi.com/mach-cong-suat-mosfet-irf520</t>
  </si>
  <si>
    <t>Chỉ dùng được nếu kích cổng bằng 5V. Rẻ nên mua kèm để so sánh.</t>
  </si>
  <si>
    <t>Nguồn adapter 12V 2A (thay cho nguồn bàn 1,8 triệu)</t>
  </si>
  <si>
    <t>https://icdayroi.com/nguon-adapter-12v-2a</t>
  </si>
  <si>
    <t>💡 TIẾT KIỆM 1,75 TRIỆU: 12V trên 10R = 14,4W (quá tải), nhưng băm xung PWM 20–40% qua MOSFET → trung bình 2,9–5,8W, ĐÚNG dải cần. ESP32 điều khiển đường sưởi bằng phần mềm — demo còn đẹp hơn vặn núm tay.</t>
  </si>
  <si>
    <t>E. TIẾP XÚC NHIỆT — quyết định số đo có thật hay không</t>
  </si>
  <si>
    <t>E. Lắp ráp</t>
  </si>
  <si>
    <t>Keo tản nhiệt STARS-922 (hoặc silicone thermal paste bất kỳ)</t>
  </si>
  <si>
    <t>https://icdayroi.com/keo-tan-nhiet-stars-922</t>
  </si>
  <si>
    <t>⚠️ BẮT BUỘC. Đầu dò trụ áp vào cell trụ chỉ chạm theo 1 đường → không có keo thì đo nhiệt độ không khí chứ không phải nhiệt độ cell.</t>
  </si>
  <si>
    <t>Băng keo Kapton chịu nhiệt 10mm (ép đầu dò vào thân cell)</t>
  </si>
  <si>
    <t>https://nshopvn.com/product/bang-keo-kapton-chiu-nhiet/</t>
  </si>
  <si>
    <t>Ép cơ học cho đầu dò dính chặt. Băng keo điện thường sẽ chảy/bong ở 50–60°C.</t>
  </si>
  <si>
    <t>F. ĐỒ NGHỀ LẮP MẠCH — thiếu là không cắm được board</t>
  </si>
  <si>
    <t>F. Đồ nghề</t>
  </si>
  <si>
    <t>Breadboard MB-102 830 lỗ</t>
  </si>
  <si>
    <t>https://icdayroi.com/breadboard-mb-102-830-lo</t>
  </si>
  <si>
    <t>⚠️ ĐỪNG mua loại 400 lỗ. Board ESP32-S3 44 chân cắm vào 400 lỗ là không còn hàng lỗ nào để đấu dây.</t>
  </si>
  <si>
    <t>Dây cắm breadboard đực-đực / đực-cái / cái-cái (mỗi loại 1 bó 40 sợi)</t>
  </si>
  <si>
    <t>https://icdayroi.com/day-cam-breadboard</t>
  </si>
  <si>
    <t>Mua đủ cả 3 loại. DS18B20 ra dây trần nên cần loại cái-cái để nối qua domino/terminal.</t>
  </si>
  <si>
    <t>Đồng hồ vạn năng UNI-T UT33D+ (đo điện áp từng cell để đối chứng)</t>
  </si>
  <si>
    <t>Không có đồng hồ thì mọi lỗi đấu nhầm đều thành lỗi 'phần mềm' và mất cả buổi để mò.</t>
  </si>
  <si>
    <t>TỔNG CỘNG</t>
  </si>
  <si>
    <t>ĐỢT 2 — HOÃN ĐƯỢC (mua khi kinh phí về, kịp cho chung kết 27/11/2026)</t>
  </si>
  <si>
    <t>Không món nào trong sheet này chặn demo bán kết. Nếu tiền về chậm, bỏ qua toàn bộ sheet này.</t>
  </si>
  <si>
    <t>G. ĐO DÒNG &amp; QUẢN LÝ PIN — nâng cấp cho vòng chung kết</t>
  </si>
  <si>
    <t>G. Đo dòng</t>
  </si>
  <si>
    <t>Module cảm biến dòng INA228 (85V, 20-bit)</t>
  </si>
  <si>
    <t>https://icdayroi.com/cam-bien-dong-ina228</t>
  </si>
  <si>
    <t>⚠️ KHÔNG dùng INA219 (chỉ 26V) — pack 8S sạc đầy 33,6V sẽ làm chết chip. INA228 đo luôn điện áp bus nên KHÔNG cần mạch chia áp + ADC nữa.</t>
  </si>
  <si>
    <t>G. Quản lý pin</t>
  </si>
  <si>
    <t>BMS DALY Smart 8S Li-ion 3.7V có cân bằng, có cổng UART</t>
  </si>
  <si>
    <t>https://icdayroi.com/bms-daly-smart-8s</t>
  </si>
  <si>
    <t>⚠️ BẪY: listing mặc định thường là bản LiFePO4. PHẢI chọn 'Li-ion 3.7V 8S'. Bản smart đọc được ĐIỆN ÁP TỪNG CELL qua UART — điện áp thường lệch TRƯỚC nhiệt độ, ghép vào vector đặc trưng là lợi thế lớn.</t>
  </si>
  <si>
    <t>G. Sạc pack</t>
  </si>
  <si>
    <t>Sạc pack 8S Li-ion 33.6V 2A (đầu DC 5.5x2.1)</t>
  </si>
  <si>
    <t>https://icdayroi.com/sac-pin-lithium-33-6v-2a</t>
  </si>
  <si>
    <t>⚠️ PHẢI là 33,6V (Li-ion 8x4,2V). Loại 29,2V là LiFePO4 — SAI hóa học, sạc không bao giờ đầy. Dòng 2A (~0,8C), KHÔNG mua loại 10A (3,3C sẽ phá cell).</t>
  </si>
  <si>
    <t>H. GHI DỮ LIỆU &amp; BẰNG CHỨNG ĐỐI CHỨNG</t>
  </si>
  <si>
    <t>H. Lưu trữ</t>
  </si>
  <si>
    <t>Module đọc thẻ microSD SPI + thẻ 32GB Class10</t>
  </si>
  <si>
    <t>https://icdayroi.com/module-doc-the-nho-micro-sd</t>
  </si>
  <si>
    <t>Lưu dữ liệu thô khi mất mạng. Có thể thay tạm bằng ghi vào 16MB Flash của S3 trong giai đoạn đầu.</t>
  </si>
  <si>
    <t>H. Bằng chứng</t>
  </si>
  <si>
    <t>Camera nhiệt gắn điện thoại InfiRay P2 Pro (hoặc FLIR ONE)</t>
  </si>
  <si>
    <t>Shopee Mall</t>
  </si>
  <si>
    <t>https://shopee.vn/search?keyword=infiray%20p2%20pro</t>
  </si>
  <si>
    <t>💡 Vũ khí thuyết phục giám khảo: chiếu ảnh nhiệt cạnh biểu đồ AI → chứng minh mô hình chỉ đúng chỗ cell nóng. Nhưng KHÔNG chặn tiến độ, mua sau cũng kịp.</t>
  </si>
  <si>
    <t>Có (Mall)</t>
  </si>
  <si>
    <t>I. NGUỒN PHÒNG THÍ NGHIỆM &amp; HÀN MẠCH — chỉ mua nếu còn dư kinh phí</t>
  </si>
  <si>
    <t>I. Nguồn</t>
  </si>
  <si>
    <t>Nguồn DC điều chỉnh DF-305D (0-30V 5A)</t>
  </si>
  <si>
    <t>💡 CÓ THỂ BỎ HẲN: adapter 12V 2A (50k) + PWM qua MOSFET đã thay thế được hoàn toàn cho mục đích sưởi. Chỉ mua nếu muốn có thiết bị lâu dài cho lab.</t>
  </si>
  <si>
    <t>I. Hàn mạch</t>
  </si>
  <si>
    <t>Mạch đục lỗ (perfboard) 7x9cm + thiếc + nhựa thông</t>
  </si>
  <si>
    <t>https://icdayroi.com/board-duc-lo</t>
  </si>
  <si>
    <t>Dùng để chuyển từ breadboard sang bản chạy ổn định trước chung kết 27/11.</t>
  </si>
  <si>
    <t>Mỏ hàn nhiệt độ điều chỉnh 60W + chân đế</t>
  </si>
  <si>
    <t>Nếu trường/khoa đã có thì bỏ qua.</t>
  </si>
  <si>
    <t>I. Dây dẫn</t>
  </si>
  <si>
    <t>Dây silicone chịu nhiệt 18AWG (đỏ + đen, mỗi màu 2m)</t>
  </si>
  <si>
    <t>https://icdayroi.com/day-dien-silicone-18awg</t>
  </si>
  <si>
    <t>Dùng cho đường dòng lớn của pack. Dây thường sẽ giòn khi gần điện trở sưởi.</t>
  </si>
  <si>
    <t>1. HÓA ĐƠN ĐỎ (VAT) — ĐỌC TRƯỚC KHI ĐẶT BẤT KỲ ĐƠN NÀO</t>
  </si>
  <si>
    <t>Vấn đề</t>
  </si>
  <si>
    <t>KHÔNG shop nào trong danh sách này công bố chính sách xuất hóa đơn VAT trên website. Cột 'HĐ đỏ?' ghi 'Cần hỏi' là vì mình CHƯA xác minh được, không phải vì shop từ chối.</t>
  </si>
  <si>
    <t>Việc phải làm TRƯỚC</t>
  </si>
  <si>
    <t>Nhắn tin / gửi mail hỏi từng shop: 'Shop có xuất hóa đơn GTGT (VAT) cho đơn hàng không? Cần thông tin gì của bên mua?' — HỎI BẰNG VĂN BẢN để có bằng chứng, đừng gọi điện suông.</t>
  </si>
  <si>
    <t>Ai nhiều khả năng có</t>
  </si>
  <si>
    <t>hshop.vn (có chuỗi cửa hàng vật lý, pháp nhân rõ) &gt; icdayroi.com &gt; nshopvn.com &gt; Shopee Mall. Người bán cá nhân trên Shopee gần như KHÔNG xuất được HĐ đỏ.</t>
  </si>
  <si>
    <t>Liên hệ</t>
  </si>
  <si>
    <t>hshop.vn: trang /lien-he. nshopvn.com: 0932734186 / dientunshop@gmail.com.</t>
  </si>
  <si>
    <t>Chiến thuật</t>
  </si>
  <si>
    <t>Gom càng ít shop càng tốt — mỗi shop là một bộ hồ sơ hóa đơn phải làm. Nếu 1 shop chịu xuất HĐ và có ~80% danh mục, mua hết ở đó dù đắt hơn 10-15% vẫn lời về mặt thủ tục.</t>
  </si>
  <si>
    <t>2. NĂM CÁI BẪY CHỌN BIẾN THỂ — chọn sai là mua lại</t>
  </si>
  <si>
    <t>BMS DALY</t>
  </si>
  <si>
    <t>Listing mặc định là LiFePO4. Phải chọn Li-ion 3.7V 8S. Chọn nhầm → ngưỡng cắt sai, pack không bao giờ sạc đầy.</t>
  </si>
  <si>
    <t>Sạc pack</t>
  </si>
  <si>
    <t>33,6V = Li-ion 8S (đúng). 29,2V = LiFePO4 8S (SAI). Dòng 2A, không phải 10A.</t>
  </si>
  <si>
    <t>Đế pin</t>
  </si>
  <si>
    <t>Phải chọn '4 cell NỐI TIẾP'. Loại song song cho ra 4,2V thay vì 16,8V.</t>
  </si>
  <si>
    <t>Điện trở kéo</t>
  </si>
  <si>
    <t>Listing bán theo dải 1K2→10K, phải bấm chọn đúng 4K7.</t>
  </si>
  <si>
    <t>Board ESP32-S3</t>
  </si>
  <si>
    <t>Phải là N16R8. N8R2/N8R8 thiếu Flash cho buffer offline.</t>
  </si>
  <si>
    <t>3. HAI QUYẾT ĐỊNH TIẾT KIỆM ĐÃ CHỐT</t>
  </si>
  <si>
    <t>Bỏ nguồn bàn 1,8tr</t>
  </si>
  <si>
    <t>Adapter 12V 2A (50k) + PWM qua MOSFET → công suất trung bình 2,9–5,8W trên điện trở 10R, đúng dải cần. ESP32 điều khiển được bằng phần mềm, demo đẹp hơn vặn núm.</t>
  </si>
  <si>
    <t>Sạc rời thay sạc pack (đợt 1)</t>
  </si>
  <si>
    <t>Sạc từng viên cắt đúng 4,2V nên giai đoạn 1 KHÔNG cần BMS → hoãn được 1,44 triệu. Đánh đổi: ESP32 không quan sát được pha sạc tại chỗ, mà đó là lúc ~15–18% vụ cháy xảy ra và là lúc tín hiệu suy giảm rõ nhất. Chấp nhận cho bán kết, phải bổ sung trước chung kết.</t>
  </si>
  <si>
    <t>4. AN TOÀN — LÀM TRƯỚC LẦN SƯỞI ĐẦU TIÊN</t>
  </si>
  <si>
    <t>Điện trở ≠ cell</t>
  </si>
  <si>
    <t>Điện trở sứ 10W chạy kịch trần có thể vượt 200°C bề mặt. Mình cần CELL ở 50°C, không phải ĐIỆN TRỞ ở 200°C. Chạy ở 2–5W thôi.</t>
  </si>
  <si>
    <t>Cắt cứng firmware</t>
  </si>
  <si>
    <t>Gá 1 con DS18B20 áp thẳng vào cell bị sưởi. Viết cắt cứng: chạm 60°C → MOSFET ngắt ngay. Viết cái này TRƯỚC khi sưởi lần đầu, không phải sau.</t>
  </si>
  <si>
    <t>Đo baseline trước</t>
  </si>
  <si>
    <t>8 cell nghỉ cùng điều kiện chênh nhau bao nhiêu độ? Đó là sàn nhiễu. Mọi dị thường phải vượt trên nó mới có nghĩa.</t>
  </si>
  <si>
    <t>5. CHÚ THÍCH CỘT</t>
  </si>
  <si>
    <t>Cột 'Thành tiền'</t>
  </si>
  <si>
    <t>Là công thức =SL × Giá. Sửa số lượng hoặc đơn giá là tổng tự tính lại.</t>
  </si>
  <si>
    <t>Ô nền vàng</t>
  </si>
  <si>
    <t>Là chỗ dễ mua sai — đọc kỹ trước khi bấm đặt hàng.</t>
  </si>
  <si>
    <t>Giá</t>
  </si>
  <si>
    <t>Là giá tham khảo tháng 9/2026, phải xác nhận lại khi đặt. Gọi hỏi tồn kho ESP32-S3 N16R8 và BMS 8S trước — hai món này hay hết hàng.</t>
  </si>
  <si>
    <t>Còn 10 ngày tới bán kết 15/09/2026. Đặt nhóm A + B + C ngay hôm nay.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</si>
</sst>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1F4E79"/>
      <name val="Arial"/>
    </font>
    <font>
      <i/>
      <sz val="10"/>
      <color rgb="FF808080"/>
      <name val="Arial"/>
    </font>
    <font>
      <b/>
      <sz val="11"/>
      <color rgb="FFFFFFFF"/>
      <name val="Arial"/>
    </font>
    <font>
      <b/>
      <sz val="10"/>
      <name val="Arial"/>
    </font>
    <font>
      <sz val="10"/>
      <name val="Arial"/>
    </font>
    <font>
      <u/>
      <sz val="9"/>
      <color rgb="FF0563C1"/>
      <name val="Arial"/>
    </font>
    <font>
      <b/>
      <sz val="11"/>
      <name val="Arial"/>
    </font>
    <font>
      <b/>
      <sz val="12"/>
      <color rgb="FFFFFFFF"/>
      <name val="Arial"/>
    </font>
    <font>
      <b/>
      <sz val="11"/>
      <color rgb="FFC00000"/>
      <name val="Arial"/>
    </font>
  </fonts>
  <fills count="7">
    <fill>
      <patternFill patternType="none"/>
    </fill>
    <fill>
      <patternFill patternType="gray125"/>
    </fill>
    <fill>
      <patternFill patternType="solid">
        <fgColor rgb="FF1F4E79"/>
      </patternFill>
    </fill>
    <fill>
      <patternFill patternType="solid">
        <fgColor rgb="FFDDEBF7"/>
      </patternFill>
    </fill>
    <fill>
      <patternFill patternType="solid">
        <fgColor rgb="FFFFF2CC"/>
      </patternFill>
    </fill>
    <fill>
      <patternFill patternType="solid">
        <fgColor rgb="FFFCE4D6"/>
      </patternFill>
    </fill>
    <fill>
      <patternFill patternType="solid">
        <fgColor rgb="FFFFFF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5" fillId="0" borderId="1" xfId="0" applyFont="1" applyBorder="1" applyAlignment="1">
      <alignment vertical="top"/>
    </xf>
    <xf numFmtId="0" fontId="5" fillId="0" borderId="1" xfId="0" applyFont="1" applyBorder="1" applyAlignment="1">
      <alignment vertical="top" wrapText="1"/>
    </xf>
    <xf numFmtId="0" fontId="5" fillId="0" borderId="1" xfId="0" applyFont="1" applyBorder="1" applyAlignment="1">
      <alignment horizontal="center" vertical="top"/>
    </xf>
    <xf numFmtId="3" fontId="5" fillId="0" borderId="1" xfId="0" applyNumberFormat="1" applyFont="1" applyBorder="1" applyAlignment="1">
      <alignment vertical="top"/>
    </xf>
    <xf numFmtId="0" fontId="6" fillId="0" borderId="1" xfId="0" applyFont="1" applyBorder="1" applyAlignment="1">
      <alignment vertical="top" wrapText="1"/>
    </xf>
    <xf numFmtId="0" fontId="5" fillId="4" borderId="1" xfId="0" applyFont="1" applyFill="1" applyBorder="1" applyAlignment="1">
      <alignment vertical="top" wrapText="1"/>
    </xf>
    <xf numFmtId="3" fontId="7" fillId="5" borderId="1" xfId="0" applyNumberFormat="1" applyFont="1" applyFill="1" applyBorder="1"/>
    <xf numFmtId="0" fontId="0" fillId="5" borderId="1" xfId="0" applyFill="1" applyBorder="1"/>
    <xf numFmtId="0" fontId="4" fillId="0" borderId="0" xfId="0" applyFont="1" applyAlignment="1">
      <alignment vertical="top" wrapText="1"/>
    </xf>
    <xf numFmtId="0" fontId="5" fillId="0" borderId="0" xfId="0" applyFont="1" applyAlignment="1">
      <alignment vertical="top" wrapText="1"/>
    </xf>
    <xf numFmtId="0" fontId="4" fillId="3" borderId="1" xfId="0" applyFont="1" applyFill="1" applyBorder="1" applyAlignment="1">
      <alignment vertical="center"/>
    </xf>
    <xf numFmtId="0" fontId="0" fillId="0" borderId="1" xfId="0" applyBorder="1"/>
    <xf numFmtId="0" fontId="7" fillId="5" borderId="1" xfId="0" applyFont="1" applyFill="1" applyBorder="1" applyAlignment="1">
      <alignment horizontal="right" vertical="center"/>
    </xf>
    <xf numFmtId="0" fontId="8" fillId="2" borderId="0" xfId="0" applyFont="1" applyFill="1" applyAlignment="1">
      <alignment vertical="center"/>
    </xf>
    <xf numFmtId="0" fontId="0" fillId="2" borderId="0" xfId="0" applyFill="1"/>
    <xf numFmtId="0" fontId="9" fillId="4" borderId="0" xfId="0" applyFont="1" applyFill="1"/>
    <xf numFmtId="0" fontId="0" fillId="0" borderId="0" xfId="0"/>
    <xf numFmtId="0" fontId="5" fillId="6"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shopvn.com/product/bo-sac-pin-liitokala-lii-500/" TargetMode="External"/><Relationship Id="rId13" Type="http://schemas.openxmlformats.org/officeDocument/2006/relationships/hyperlink" Target="https://icdayroi.com/nguon-adapter-12v-2a" TargetMode="External"/><Relationship Id="rId18" Type="http://schemas.openxmlformats.org/officeDocument/2006/relationships/hyperlink" Target="https://hshop.vn/" TargetMode="External"/><Relationship Id="rId3" Type="http://schemas.openxmlformats.org/officeDocument/2006/relationships/hyperlink" Target="https://nshopvn.com/product/cam-bien-nhiet-do-ds18b20-chong-nuoc/" TargetMode="External"/><Relationship Id="rId7" Type="http://schemas.openxmlformats.org/officeDocument/2006/relationships/hyperlink" Target="https://hshop.vn/" TargetMode="External"/><Relationship Id="rId12" Type="http://schemas.openxmlformats.org/officeDocument/2006/relationships/hyperlink" Target="https://icdayroi.com/mach-cong-suat-mosfet-irf520" TargetMode="External"/><Relationship Id="rId17" Type="http://schemas.openxmlformats.org/officeDocument/2006/relationships/hyperlink" Target="https://icdayroi.com/day-cam-breadboard" TargetMode="External"/><Relationship Id="rId2" Type="http://schemas.openxmlformats.org/officeDocument/2006/relationships/hyperlink" Target="https://hshop.vn/" TargetMode="External"/><Relationship Id="rId16" Type="http://schemas.openxmlformats.org/officeDocument/2006/relationships/hyperlink" Target="https://icdayroi.com/breadboard-mb-102-830-lo" TargetMode="External"/><Relationship Id="rId1" Type="http://schemas.openxmlformats.org/officeDocument/2006/relationships/hyperlink" Target="https://icdayroi.com/kit-esp32-s3-devkitc-1-n16r8" TargetMode="External"/><Relationship Id="rId6" Type="http://schemas.openxmlformats.org/officeDocument/2006/relationships/hyperlink" Target="https://nshopvn.com/product/pin-18650-samsung-25r-2500mah/" TargetMode="External"/><Relationship Id="rId11" Type="http://schemas.openxmlformats.org/officeDocument/2006/relationships/hyperlink" Target="https://hshop.vn/" TargetMode="External"/><Relationship Id="rId5" Type="http://schemas.openxmlformats.org/officeDocument/2006/relationships/hyperlink" Target="https://icdayroi.com/dien-tro-2-2k-1-4w" TargetMode="External"/><Relationship Id="rId15" Type="http://schemas.openxmlformats.org/officeDocument/2006/relationships/hyperlink" Target="https://nshopvn.com/product/bang-keo-kapton-chiu-nhiet/" TargetMode="External"/><Relationship Id="rId10" Type="http://schemas.openxmlformats.org/officeDocument/2006/relationships/hyperlink" Target="https://icdayroi.com/dien-tro-su-10w" TargetMode="External"/><Relationship Id="rId4" Type="http://schemas.openxmlformats.org/officeDocument/2006/relationships/hyperlink" Target="https://icdayroi.com/dien-tro-4-7k-1-4w" TargetMode="External"/><Relationship Id="rId9" Type="http://schemas.openxmlformats.org/officeDocument/2006/relationships/hyperlink" Target="https://icdayroi.com/dien-tro-su-10w-10r" TargetMode="External"/><Relationship Id="rId14" Type="http://schemas.openxmlformats.org/officeDocument/2006/relationships/hyperlink" Target="https://icdayroi.com/keo-tan-nhiet-stars-922"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hshop.vn/" TargetMode="External"/><Relationship Id="rId3" Type="http://schemas.openxmlformats.org/officeDocument/2006/relationships/hyperlink" Target="https://icdayroi.com/sac-pin-lithium-33-6v-2a" TargetMode="External"/><Relationship Id="rId7" Type="http://schemas.openxmlformats.org/officeDocument/2006/relationships/hyperlink" Target="https://icdayroi.com/board-duc-lo" TargetMode="External"/><Relationship Id="rId2" Type="http://schemas.openxmlformats.org/officeDocument/2006/relationships/hyperlink" Target="https://icdayroi.com/bms-daly-smart-8s" TargetMode="External"/><Relationship Id="rId1" Type="http://schemas.openxmlformats.org/officeDocument/2006/relationships/hyperlink" Target="https://icdayroi.com/cam-bien-dong-ina228" TargetMode="External"/><Relationship Id="rId6" Type="http://schemas.openxmlformats.org/officeDocument/2006/relationships/hyperlink" Target="https://hshop.vn/" TargetMode="External"/><Relationship Id="rId5" Type="http://schemas.openxmlformats.org/officeDocument/2006/relationships/hyperlink" Target="https://shopee.vn/search?keyword=infiray%20p2%20pro" TargetMode="External"/><Relationship Id="rId4" Type="http://schemas.openxmlformats.org/officeDocument/2006/relationships/hyperlink" Target="https://icdayroi.com/module-doc-the-nho-micro-sd" TargetMode="External"/><Relationship Id="rId9" Type="http://schemas.openxmlformats.org/officeDocument/2006/relationships/hyperlink" Target="https://icdayroi.com/day-dien-silicone-18aw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showGridLines="0" tabSelected="1" workbookViewId="0">
      <pane ySplit="4" topLeftCell="A5" activePane="bottomLeft" state="frozen"/>
      <selection pane="bottomLeft" activeCell="C20" sqref="C20"/>
    </sheetView>
  </sheetViews>
  <sheetFormatPr defaultRowHeight="15" x14ac:dyDescent="0.25"/>
  <cols>
    <col min="1" max="1" width="5" customWidth="1"/>
    <col min="2" max="2" width="16" customWidth="1"/>
    <col min="3" max="3" width="42" customWidth="1"/>
    <col min="4" max="4" width="6" customWidth="1"/>
    <col min="5" max="5" width="14" customWidth="1"/>
    <col min="6" max="6" width="13" customWidth="1"/>
    <col min="7" max="7" width="14" customWidth="1"/>
    <col min="8" max="8" width="46" customWidth="1"/>
    <col min="9" max="9" width="52" customWidth="1"/>
    <col min="10" max="10" width="10" customWidth="1"/>
  </cols>
  <sheetData>
    <row r="1" spans="1:10" ht="18" x14ac:dyDescent="0.25">
      <c r="A1" s="1" t="s">
        <v>0</v>
      </c>
    </row>
    <row r="2" spans="1:10" x14ac:dyDescent="0.25">
      <c r="A2" s="2" t="s">
        <v>1</v>
      </c>
    </row>
    <row r="4" spans="1:10" ht="32.1" customHeight="1" x14ac:dyDescent="0.25">
      <c r="A4" s="3" t="s">
        <v>2</v>
      </c>
      <c r="B4" s="3" t="s">
        <v>3</v>
      </c>
      <c r="C4" s="3" t="s">
        <v>4</v>
      </c>
      <c r="D4" s="3" t="s">
        <v>5</v>
      </c>
      <c r="E4" s="3" t="s">
        <v>6</v>
      </c>
      <c r="F4" s="3" t="s">
        <v>7</v>
      </c>
      <c r="G4" s="3" t="s">
        <v>8</v>
      </c>
      <c r="H4" s="3" t="s">
        <v>9</v>
      </c>
      <c r="I4" s="3" t="s">
        <v>10</v>
      </c>
      <c r="J4" s="3" t="s">
        <v>11</v>
      </c>
    </row>
    <row r="5" spans="1:10" x14ac:dyDescent="0.25">
      <c r="A5" s="14" t="s">
        <v>12</v>
      </c>
      <c r="B5" s="15"/>
      <c r="C5" s="15"/>
      <c r="D5" s="15"/>
      <c r="E5" s="15"/>
      <c r="F5" s="15"/>
      <c r="G5" s="15"/>
      <c r="H5" s="15"/>
      <c r="I5" s="15"/>
      <c r="J5" s="15"/>
    </row>
    <row r="6" spans="1:10" ht="38.25" x14ac:dyDescent="0.25">
      <c r="A6" s="4">
        <v>1</v>
      </c>
      <c r="B6" s="4" t="s">
        <v>13</v>
      </c>
      <c r="C6" s="21" t="s">
        <v>14</v>
      </c>
      <c r="D6" s="6">
        <v>2</v>
      </c>
      <c r="E6" s="4" t="s">
        <v>15</v>
      </c>
      <c r="F6" s="7">
        <v>239000</v>
      </c>
      <c r="G6" s="7">
        <f>D6*F6</f>
        <v>478000</v>
      </c>
      <c r="H6" s="8" t="s">
        <v>16</v>
      </c>
      <c r="I6" s="9" t="s">
        <v>17</v>
      </c>
      <c r="J6" s="6" t="s">
        <v>18</v>
      </c>
    </row>
    <row r="7" spans="1:10" ht="51" x14ac:dyDescent="0.25">
      <c r="A7" s="4">
        <v>2</v>
      </c>
      <c r="B7" s="4" t="s">
        <v>13</v>
      </c>
      <c r="C7" s="5" t="s">
        <v>19</v>
      </c>
      <c r="D7" s="6">
        <v>0</v>
      </c>
      <c r="E7" s="4" t="s">
        <v>20</v>
      </c>
      <c r="F7" s="7">
        <v>230000</v>
      </c>
      <c r="G7" s="7">
        <f>D7*F7</f>
        <v>0</v>
      </c>
      <c r="H7" s="8" t="s">
        <v>21</v>
      </c>
      <c r="I7" s="5" t="s">
        <v>22</v>
      </c>
      <c r="J7" s="6" t="s">
        <v>18</v>
      </c>
    </row>
    <row r="8" spans="1:10" x14ac:dyDescent="0.25">
      <c r="A8" s="14" t="s">
        <v>23</v>
      </c>
      <c r="B8" s="15"/>
      <c r="C8" s="15"/>
      <c r="D8" s="15"/>
      <c r="E8" s="15"/>
      <c r="F8" s="15"/>
      <c r="G8" s="15"/>
      <c r="H8" s="15"/>
      <c r="I8" s="15"/>
      <c r="J8" s="15"/>
    </row>
    <row r="9" spans="1:10" ht="38.25" x14ac:dyDescent="0.25">
      <c r="A9" s="4">
        <v>3</v>
      </c>
      <c r="B9" s="4" t="s">
        <v>24</v>
      </c>
      <c r="C9" s="5" t="s">
        <v>25</v>
      </c>
      <c r="D9" s="6">
        <v>10</v>
      </c>
      <c r="E9" s="4" t="s">
        <v>26</v>
      </c>
      <c r="F9" s="7">
        <v>19000</v>
      </c>
      <c r="G9" s="7">
        <f>D9*F9</f>
        <v>190000</v>
      </c>
      <c r="H9" s="8" t="s">
        <v>27</v>
      </c>
      <c r="I9" s="5" t="s">
        <v>28</v>
      </c>
      <c r="J9" s="6" t="s">
        <v>18</v>
      </c>
    </row>
    <row r="10" spans="1:10" ht="38.25" x14ac:dyDescent="0.25">
      <c r="A10" s="4">
        <v>4</v>
      </c>
      <c r="B10" s="4" t="s">
        <v>24</v>
      </c>
      <c r="C10" s="5" t="s">
        <v>29</v>
      </c>
      <c r="D10" s="6">
        <v>20</v>
      </c>
      <c r="E10" s="4" t="s">
        <v>15</v>
      </c>
      <c r="F10" s="7">
        <v>350</v>
      </c>
      <c r="G10" s="7">
        <f>D10*F10</f>
        <v>7000</v>
      </c>
      <c r="H10" s="8" t="s">
        <v>30</v>
      </c>
      <c r="I10" s="9" t="s">
        <v>31</v>
      </c>
      <c r="J10" s="6" t="s">
        <v>18</v>
      </c>
    </row>
    <row r="11" spans="1:10" ht="25.5" x14ac:dyDescent="0.25">
      <c r="A11" s="4">
        <v>5</v>
      </c>
      <c r="B11" s="4" t="s">
        <v>24</v>
      </c>
      <c r="C11" s="5" t="s">
        <v>32</v>
      </c>
      <c r="D11" s="6">
        <v>20</v>
      </c>
      <c r="E11" s="4" t="s">
        <v>15</v>
      </c>
      <c r="F11" s="7">
        <v>350</v>
      </c>
      <c r="G11" s="7">
        <f>D11*F11</f>
        <v>7000</v>
      </c>
      <c r="H11" s="8" t="s">
        <v>33</v>
      </c>
      <c r="I11" s="5" t="s">
        <v>34</v>
      </c>
      <c r="J11" s="6" t="s">
        <v>18</v>
      </c>
    </row>
    <row r="12" spans="1:10" x14ac:dyDescent="0.25">
      <c r="A12" s="14" t="s">
        <v>35</v>
      </c>
      <c r="B12" s="15"/>
      <c r="C12" s="15"/>
      <c r="D12" s="15"/>
      <c r="E12" s="15"/>
      <c r="F12" s="15"/>
      <c r="G12" s="15"/>
      <c r="H12" s="15"/>
      <c r="I12" s="15"/>
      <c r="J12" s="15"/>
    </row>
    <row r="13" spans="1:10" ht="51" x14ac:dyDescent="0.25">
      <c r="A13" s="4">
        <v>6</v>
      </c>
      <c r="B13" s="4" t="s">
        <v>36</v>
      </c>
      <c r="C13" s="21" t="s">
        <v>37</v>
      </c>
      <c r="D13" s="6">
        <v>10</v>
      </c>
      <c r="E13" s="4" t="s">
        <v>26</v>
      </c>
      <c r="F13" s="7">
        <v>86000</v>
      </c>
      <c r="G13" s="7">
        <f>D13*F13</f>
        <v>860000</v>
      </c>
      <c r="H13" s="8" t="s">
        <v>38</v>
      </c>
      <c r="I13" s="9" t="s">
        <v>39</v>
      </c>
      <c r="J13" s="6" t="s">
        <v>18</v>
      </c>
    </row>
    <row r="14" spans="1:10" ht="38.25" x14ac:dyDescent="0.25">
      <c r="A14" s="4">
        <v>7</v>
      </c>
      <c r="B14" s="4" t="s">
        <v>36</v>
      </c>
      <c r="C14" s="21" t="s">
        <v>40</v>
      </c>
      <c r="D14" s="6">
        <v>2</v>
      </c>
      <c r="E14" s="4" t="s">
        <v>20</v>
      </c>
      <c r="F14" s="7">
        <v>9000</v>
      </c>
      <c r="G14" s="7">
        <f>D14*F14</f>
        <v>18000</v>
      </c>
      <c r="H14" s="8" t="s">
        <v>21</v>
      </c>
      <c r="I14" s="9" t="s">
        <v>41</v>
      </c>
      <c r="J14" s="6" t="s">
        <v>18</v>
      </c>
    </row>
    <row r="15" spans="1:10" ht="38.25" x14ac:dyDescent="0.25">
      <c r="A15" s="4">
        <v>8</v>
      </c>
      <c r="B15" s="4" t="s">
        <v>36</v>
      </c>
      <c r="C15" s="5" t="s">
        <v>42</v>
      </c>
      <c r="D15" s="6">
        <v>1</v>
      </c>
      <c r="E15" s="4" t="s">
        <v>26</v>
      </c>
      <c r="F15" s="7">
        <v>440000</v>
      </c>
      <c r="G15" s="7">
        <f>D15*F15</f>
        <v>440000</v>
      </c>
      <c r="H15" s="8" t="s">
        <v>43</v>
      </c>
      <c r="I15" s="9" t="s">
        <v>44</v>
      </c>
      <c r="J15" s="6" t="s">
        <v>18</v>
      </c>
    </row>
    <row r="16" spans="1:10" x14ac:dyDescent="0.25">
      <c r="A16" s="14" t="s">
        <v>45</v>
      </c>
      <c r="B16" s="15"/>
      <c r="C16" s="15"/>
      <c r="D16" s="15"/>
      <c r="E16" s="15"/>
      <c r="F16" s="15"/>
      <c r="G16" s="15"/>
      <c r="H16" s="15"/>
      <c r="I16" s="15"/>
      <c r="J16" s="15"/>
    </row>
    <row r="17" spans="1:10" ht="38.25" x14ac:dyDescent="0.25">
      <c r="A17" s="4">
        <v>9</v>
      </c>
      <c r="B17" s="4" t="s">
        <v>46</v>
      </c>
      <c r="C17" s="5" t="s">
        <v>47</v>
      </c>
      <c r="D17" s="6">
        <v>4</v>
      </c>
      <c r="E17" s="4" t="s">
        <v>15</v>
      </c>
      <c r="F17" s="7">
        <v>4000</v>
      </c>
      <c r="G17" s="7">
        <f>D17*F17</f>
        <v>16000</v>
      </c>
      <c r="H17" s="8" t="s">
        <v>48</v>
      </c>
      <c r="I17" s="9" t="s">
        <v>49</v>
      </c>
      <c r="J17" s="6" t="s">
        <v>18</v>
      </c>
    </row>
    <row r="18" spans="1:10" ht="25.5" x14ac:dyDescent="0.25">
      <c r="A18" s="4">
        <v>10</v>
      </c>
      <c r="B18" s="4" t="s">
        <v>46</v>
      </c>
      <c r="C18" s="5" t="s">
        <v>50</v>
      </c>
      <c r="D18" s="6">
        <v>4</v>
      </c>
      <c r="E18" s="4" t="s">
        <v>15</v>
      </c>
      <c r="F18" s="7">
        <v>4000</v>
      </c>
      <c r="G18" s="7">
        <f>D18*F18</f>
        <v>16000</v>
      </c>
      <c r="H18" s="8" t="s">
        <v>51</v>
      </c>
      <c r="I18" s="5" t="s">
        <v>52</v>
      </c>
      <c r="J18" s="6" t="s">
        <v>18</v>
      </c>
    </row>
    <row r="19" spans="1:10" ht="38.25" x14ac:dyDescent="0.25">
      <c r="A19" s="4">
        <v>11</v>
      </c>
      <c r="B19" s="4" t="s">
        <v>46</v>
      </c>
      <c r="C19" s="5" t="s">
        <v>53</v>
      </c>
      <c r="D19" s="6">
        <v>2</v>
      </c>
      <c r="E19" s="4" t="s">
        <v>20</v>
      </c>
      <c r="F19" s="7">
        <v>45000</v>
      </c>
      <c r="G19" s="7">
        <f>D19*F19</f>
        <v>90000</v>
      </c>
      <c r="H19" s="8" t="s">
        <v>21</v>
      </c>
      <c r="I19" s="9" t="s">
        <v>54</v>
      </c>
      <c r="J19" s="6" t="s">
        <v>18</v>
      </c>
    </row>
    <row r="20" spans="1:10" ht="25.5" x14ac:dyDescent="0.25">
      <c r="A20" s="4">
        <v>12</v>
      </c>
      <c r="B20" s="4" t="s">
        <v>46</v>
      </c>
      <c r="C20" s="5" t="s">
        <v>55</v>
      </c>
      <c r="D20" s="6">
        <v>2</v>
      </c>
      <c r="E20" s="4" t="s">
        <v>15</v>
      </c>
      <c r="F20" s="7">
        <v>13000</v>
      </c>
      <c r="G20" s="7">
        <f>D20*F20</f>
        <v>26000</v>
      </c>
      <c r="H20" s="8" t="s">
        <v>56</v>
      </c>
      <c r="I20" s="5" t="s">
        <v>57</v>
      </c>
      <c r="J20" s="6" t="s">
        <v>18</v>
      </c>
    </row>
    <row r="21" spans="1:10" ht="63.75" x14ac:dyDescent="0.25">
      <c r="A21" s="4">
        <v>13</v>
      </c>
      <c r="B21" s="4" t="s">
        <v>46</v>
      </c>
      <c r="C21" s="21" t="s">
        <v>58</v>
      </c>
      <c r="D21" s="6">
        <v>2</v>
      </c>
      <c r="E21" s="4" t="s">
        <v>15</v>
      </c>
      <c r="F21" s="7">
        <v>50000</v>
      </c>
      <c r="G21" s="7">
        <f>D21*F21</f>
        <v>100000</v>
      </c>
      <c r="H21" s="8" t="s">
        <v>59</v>
      </c>
      <c r="I21" s="5" t="s">
        <v>60</v>
      </c>
      <c r="J21" s="6" t="s">
        <v>18</v>
      </c>
    </row>
    <row r="22" spans="1:10" x14ac:dyDescent="0.25">
      <c r="A22" s="14" t="s">
        <v>61</v>
      </c>
      <c r="B22" s="15"/>
      <c r="C22" s="15"/>
      <c r="D22" s="15"/>
      <c r="E22" s="15"/>
      <c r="F22" s="15"/>
      <c r="G22" s="15"/>
      <c r="H22" s="15"/>
      <c r="I22" s="15"/>
      <c r="J22" s="15"/>
    </row>
    <row r="23" spans="1:10" ht="38.25" x14ac:dyDescent="0.25">
      <c r="A23" s="4">
        <v>14</v>
      </c>
      <c r="B23" s="4" t="s">
        <v>62</v>
      </c>
      <c r="C23" s="21" t="s">
        <v>63</v>
      </c>
      <c r="D23" s="6">
        <v>2</v>
      </c>
      <c r="E23" s="4" t="s">
        <v>15</v>
      </c>
      <c r="F23" s="7">
        <v>12000</v>
      </c>
      <c r="G23" s="7">
        <f>D23*F23</f>
        <v>24000</v>
      </c>
      <c r="H23" s="8" t="s">
        <v>64</v>
      </c>
      <c r="I23" s="9" t="s">
        <v>65</v>
      </c>
      <c r="J23" s="6" t="s">
        <v>18</v>
      </c>
    </row>
    <row r="24" spans="1:10" ht="25.5" x14ac:dyDescent="0.25">
      <c r="A24" s="4">
        <v>15</v>
      </c>
      <c r="B24" s="4" t="s">
        <v>62</v>
      </c>
      <c r="C24" s="5" t="s">
        <v>66</v>
      </c>
      <c r="D24" s="6">
        <v>2</v>
      </c>
      <c r="E24" s="4" t="s">
        <v>26</v>
      </c>
      <c r="F24" s="7">
        <v>38000</v>
      </c>
      <c r="G24" s="7">
        <f>D24*F24</f>
        <v>76000</v>
      </c>
      <c r="H24" s="8" t="s">
        <v>67</v>
      </c>
      <c r="I24" s="5" t="s">
        <v>68</v>
      </c>
      <c r="J24" s="6" t="s">
        <v>18</v>
      </c>
    </row>
    <row r="25" spans="1:10" x14ac:dyDescent="0.25">
      <c r="A25" s="14" t="s">
        <v>69</v>
      </c>
      <c r="B25" s="15"/>
      <c r="C25" s="15"/>
      <c r="D25" s="15"/>
      <c r="E25" s="15"/>
      <c r="F25" s="15"/>
      <c r="G25" s="15"/>
      <c r="H25" s="15"/>
      <c r="I25" s="15"/>
      <c r="J25" s="15"/>
    </row>
    <row r="26" spans="1:10" ht="25.5" x14ac:dyDescent="0.25">
      <c r="A26" s="4">
        <v>16</v>
      </c>
      <c r="B26" s="4" t="s">
        <v>70</v>
      </c>
      <c r="C26" s="5" t="s">
        <v>71</v>
      </c>
      <c r="D26" s="6">
        <v>2</v>
      </c>
      <c r="E26" s="4" t="s">
        <v>15</v>
      </c>
      <c r="F26" s="7">
        <v>35000</v>
      </c>
      <c r="G26" s="7">
        <f>D26*F26</f>
        <v>70000</v>
      </c>
      <c r="H26" s="8" t="s">
        <v>72</v>
      </c>
      <c r="I26" s="9" t="s">
        <v>73</v>
      </c>
      <c r="J26" s="6" t="s">
        <v>18</v>
      </c>
    </row>
    <row r="27" spans="1:10" ht="25.5" x14ac:dyDescent="0.25">
      <c r="A27" s="4">
        <v>17</v>
      </c>
      <c r="B27" s="4" t="s">
        <v>70</v>
      </c>
      <c r="C27" s="5" t="s">
        <v>74</v>
      </c>
      <c r="D27" s="6">
        <v>3</v>
      </c>
      <c r="E27" s="4" t="s">
        <v>15</v>
      </c>
      <c r="F27" s="7">
        <v>8000</v>
      </c>
      <c r="G27" s="7">
        <f>D27*F27</f>
        <v>24000</v>
      </c>
      <c r="H27" s="8" t="s">
        <v>75</v>
      </c>
      <c r="I27" s="5" t="s">
        <v>76</v>
      </c>
      <c r="J27" s="6" t="s">
        <v>18</v>
      </c>
    </row>
    <row r="28" spans="1:10" ht="25.5" x14ac:dyDescent="0.25">
      <c r="A28" s="4">
        <v>18</v>
      </c>
      <c r="B28" s="4" t="s">
        <v>70</v>
      </c>
      <c r="C28" s="5" t="s">
        <v>77</v>
      </c>
      <c r="D28" s="6">
        <v>1</v>
      </c>
      <c r="E28" s="4" t="s">
        <v>20</v>
      </c>
      <c r="F28" s="7">
        <v>285000</v>
      </c>
      <c r="G28" s="7">
        <f>D28*F28</f>
        <v>285000</v>
      </c>
      <c r="H28" s="8" t="s">
        <v>21</v>
      </c>
      <c r="I28" s="5" t="s">
        <v>78</v>
      </c>
      <c r="J28" s="6" t="s">
        <v>18</v>
      </c>
    </row>
    <row r="29" spans="1:10" x14ac:dyDescent="0.25">
      <c r="A29" s="16" t="s">
        <v>79</v>
      </c>
      <c r="B29" s="15"/>
      <c r="C29" s="15"/>
      <c r="D29" s="15"/>
      <c r="E29" s="15"/>
      <c r="F29" s="15"/>
      <c r="G29" s="10">
        <f>SUM(G5:G28)</f>
        <v>2727000</v>
      </c>
      <c r="H29" s="11"/>
      <c r="I29" s="11"/>
      <c r="J29" s="11"/>
    </row>
  </sheetData>
  <mergeCells count="7">
    <mergeCell ref="A25:J25"/>
    <mergeCell ref="A29:F29"/>
    <mergeCell ref="A5:J5"/>
    <mergeCell ref="A8:J8"/>
    <mergeCell ref="A22:J22"/>
    <mergeCell ref="A12:J12"/>
    <mergeCell ref="A16:J16"/>
  </mergeCells>
  <hyperlinks>
    <hyperlink ref="H6" r:id="rId1" xr:uid="{00000000-0004-0000-0000-000000000000}"/>
    <hyperlink ref="H7" r:id="rId2" xr:uid="{00000000-0004-0000-0000-000001000000}"/>
    <hyperlink ref="H9" r:id="rId3" xr:uid="{00000000-0004-0000-0000-000002000000}"/>
    <hyperlink ref="H10" r:id="rId4" xr:uid="{00000000-0004-0000-0000-000003000000}"/>
    <hyperlink ref="H11" r:id="rId5" xr:uid="{00000000-0004-0000-0000-000004000000}"/>
    <hyperlink ref="H13" r:id="rId6" xr:uid="{00000000-0004-0000-0000-000005000000}"/>
    <hyperlink ref="H14" r:id="rId7" xr:uid="{00000000-0004-0000-0000-000006000000}"/>
    <hyperlink ref="H15" r:id="rId8" xr:uid="{00000000-0004-0000-0000-000007000000}"/>
    <hyperlink ref="H17" r:id="rId9" xr:uid="{00000000-0004-0000-0000-000008000000}"/>
    <hyperlink ref="H18" r:id="rId10" xr:uid="{00000000-0004-0000-0000-000009000000}"/>
    <hyperlink ref="H19" r:id="rId11" xr:uid="{00000000-0004-0000-0000-00000A000000}"/>
    <hyperlink ref="H20" r:id="rId12" xr:uid="{00000000-0004-0000-0000-00000B000000}"/>
    <hyperlink ref="H21" r:id="rId13" xr:uid="{00000000-0004-0000-0000-00000C000000}"/>
    <hyperlink ref="H23" r:id="rId14" xr:uid="{00000000-0004-0000-0000-00000D000000}"/>
    <hyperlink ref="H24" r:id="rId15" xr:uid="{00000000-0004-0000-0000-00000E000000}"/>
    <hyperlink ref="H26" r:id="rId16" xr:uid="{00000000-0004-0000-0000-00000F000000}"/>
    <hyperlink ref="H27" r:id="rId17" xr:uid="{00000000-0004-0000-0000-000010000000}"/>
    <hyperlink ref="H28" r:id="rId18" xr:uid="{00000000-0004-0000-0000-000011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
  <sheetViews>
    <sheetView showGridLines="0" workbookViewId="0">
      <pane ySplit="4" topLeftCell="A5" activePane="bottomLeft" state="frozen"/>
      <selection pane="bottomLeft"/>
    </sheetView>
  </sheetViews>
  <sheetFormatPr defaultRowHeight="15" x14ac:dyDescent="0.25"/>
  <cols>
    <col min="1" max="1" width="5" customWidth="1"/>
    <col min="2" max="2" width="16" customWidth="1"/>
    <col min="3" max="3" width="42" customWidth="1"/>
    <col min="4" max="4" width="6" customWidth="1"/>
    <col min="5" max="5" width="14" customWidth="1"/>
    <col min="6" max="6" width="13" customWidth="1"/>
    <col min="7" max="7" width="14" customWidth="1"/>
    <col min="8" max="8" width="46" customWidth="1"/>
    <col min="9" max="9" width="52" customWidth="1"/>
    <col min="10" max="10" width="10" customWidth="1"/>
  </cols>
  <sheetData>
    <row r="1" spans="1:10" ht="18" x14ac:dyDescent="0.25">
      <c r="A1" s="1" t="s">
        <v>80</v>
      </c>
    </row>
    <row r="2" spans="1:10" x14ac:dyDescent="0.25">
      <c r="A2" s="2" t="s">
        <v>81</v>
      </c>
    </row>
    <row r="4" spans="1:10" ht="32.1" customHeight="1" x14ac:dyDescent="0.25">
      <c r="A4" s="3" t="s">
        <v>2</v>
      </c>
      <c r="B4" s="3" t="s">
        <v>3</v>
      </c>
      <c r="C4" s="3" t="s">
        <v>4</v>
      </c>
      <c r="D4" s="3" t="s">
        <v>5</v>
      </c>
      <c r="E4" s="3" t="s">
        <v>6</v>
      </c>
      <c r="F4" s="3" t="s">
        <v>7</v>
      </c>
      <c r="G4" s="3" t="s">
        <v>8</v>
      </c>
      <c r="H4" s="3" t="s">
        <v>9</v>
      </c>
      <c r="I4" s="3" t="s">
        <v>10</v>
      </c>
      <c r="J4" s="3" t="s">
        <v>11</v>
      </c>
    </row>
    <row r="5" spans="1:10" x14ac:dyDescent="0.25">
      <c r="A5" s="14" t="s">
        <v>82</v>
      </c>
      <c r="B5" s="15"/>
      <c r="C5" s="15"/>
      <c r="D5" s="15"/>
      <c r="E5" s="15"/>
      <c r="F5" s="15"/>
      <c r="G5" s="15"/>
      <c r="H5" s="15"/>
      <c r="I5" s="15"/>
      <c r="J5" s="15"/>
    </row>
    <row r="6" spans="1:10" ht="38.25" x14ac:dyDescent="0.25">
      <c r="A6" s="4">
        <v>1</v>
      </c>
      <c r="B6" s="4" t="s">
        <v>83</v>
      </c>
      <c r="C6" s="5" t="s">
        <v>84</v>
      </c>
      <c r="D6" s="6">
        <v>2</v>
      </c>
      <c r="E6" s="4" t="s">
        <v>15</v>
      </c>
      <c r="F6" s="7">
        <v>420000</v>
      </c>
      <c r="G6" s="7">
        <f>D6*F6</f>
        <v>840000</v>
      </c>
      <c r="H6" s="8" t="s">
        <v>85</v>
      </c>
      <c r="I6" s="9" t="s">
        <v>86</v>
      </c>
      <c r="J6" s="6" t="s">
        <v>18</v>
      </c>
    </row>
    <row r="7" spans="1:10" ht="51" x14ac:dyDescent="0.25">
      <c r="A7" s="4">
        <v>2</v>
      </c>
      <c r="B7" s="4" t="s">
        <v>87</v>
      </c>
      <c r="C7" s="5" t="s">
        <v>88</v>
      </c>
      <c r="D7" s="6">
        <v>2</v>
      </c>
      <c r="E7" s="4" t="s">
        <v>15</v>
      </c>
      <c r="F7" s="7">
        <v>720000</v>
      </c>
      <c r="G7" s="7">
        <f>D7*F7</f>
        <v>1440000</v>
      </c>
      <c r="H7" s="8" t="s">
        <v>89</v>
      </c>
      <c r="I7" s="9" t="s">
        <v>90</v>
      </c>
      <c r="J7" s="6" t="s">
        <v>18</v>
      </c>
    </row>
    <row r="8" spans="1:10" ht="38.25" x14ac:dyDescent="0.25">
      <c r="A8" s="4">
        <v>3</v>
      </c>
      <c r="B8" s="4" t="s">
        <v>91</v>
      </c>
      <c r="C8" s="5" t="s">
        <v>92</v>
      </c>
      <c r="D8" s="6">
        <v>1</v>
      </c>
      <c r="E8" s="4" t="s">
        <v>15</v>
      </c>
      <c r="F8" s="7">
        <v>350000</v>
      </c>
      <c r="G8" s="7">
        <f>D8*F8</f>
        <v>350000</v>
      </c>
      <c r="H8" s="8" t="s">
        <v>93</v>
      </c>
      <c r="I8" s="9" t="s">
        <v>94</v>
      </c>
      <c r="J8" s="6" t="s">
        <v>18</v>
      </c>
    </row>
    <row r="9" spans="1:10" x14ac:dyDescent="0.25">
      <c r="A9" s="14" t="s">
        <v>95</v>
      </c>
      <c r="B9" s="15"/>
      <c r="C9" s="15"/>
      <c r="D9" s="15"/>
      <c r="E9" s="15"/>
      <c r="F9" s="15"/>
      <c r="G9" s="15"/>
      <c r="H9" s="15"/>
      <c r="I9" s="15"/>
      <c r="J9" s="15"/>
    </row>
    <row r="10" spans="1:10" ht="25.5" x14ac:dyDescent="0.25">
      <c r="A10" s="4">
        <v>4</v>
      </c>
      <c r="B10" s="4" t="s">
        <v>96</v>
      </c>
      <c r="C10" s="5" t="s">
        <v>97</v>
      </c>
      <c r="D10" s="6">
        <v>2</v>
      </c>
      <c r="E10" s="4" t="s">
        <v>15</v>
      </c>
      <c r="F10" s="7">
        <v>45000</v>
      </c>
      <c r="G10" s="7">
        <f>D10*F10</f>
        <v>90000</v>
      </c>
      <c r="H10" s="8" t="s">
        <v>98</v>
      </c>
      <c r="I10" s="5" t="s">
        <v>99</v>
      </c>
      <c r="J10" s="6" t="s">
        <v>18</v>
      </c>
    </row>
    <row r="11" spans="1:10" ht="38.25" x14ac:dyDescent="0.25">
      <c r="A11" s="4">
        <v>5</v>
      </c>
      <c r="B11" s="4" t="s">
        <v>100</v>
      </c>
      <c r="C11" s="5" t="s">
        <v>101</v>
      </c>
      <c r="D11" s="6">
        <v>1</v>
      </c>
      <c r="E11" s="4" t="s">
        <v>102</v>
      </c>
      <c r="F11" s="7">
        <v>4200000</v>
      </c>
      <c r="G11" s="7">
        <f>D11*F11</f>
        <v>4200000</v>
      </c>
      <c r="H11" s="8" t="s">
        <v>103</v>
      </c>
      <c r="I11" s="5" t="s">
        <v>104</v>
      </c>
      <c r="J11" s="6" t="s">
        <v>105</v>
      </c>
    </row>
    <row r="12" spans="1:10" x14ac:dyDescent="0.25">
      <c r="A12" s="14" t="s">
        <v>106</v>
      </c>
      <c r="B12" s="15"/>
      <c r="C12" s="15"/>
      <c r="D12" s="15"/>
      <c r="E12" s="15"/>
      <c r="F12" s="15"/>
      <c r="G12" s="15"/>
      <c r="H12" s="15"/>
      <c r="I12" s="15"/>
      <c r="J12" s="15"/>
    </row>
    <row r="13" spans="1:10" ht="38.25" x14ac:dyDescent="0.25">
      <c r="A13" s="4">
        <v>6</v>
      </c>
      <c r="B13" s="4" t="s">
        <v>107</v>
      </c>
      <c r="C13" s="5" t="s">
        <v>108</v>
      </c>
      <c r="D13" s="6">
        <v>1</v>
      </c>
      <c r="E13" s="4" t="s">
        <v>20</v>
      </c>
      <c r="F13" s="7">
        <v>1800000</v>
      </c>
      <c r="G13" s="7">
        <f>D13*F13</f>
        <v>1800000</v>
      </c>
      <c r="H13" s="8" t="s">
        <v>21</v>
      </c>
      <c r="I13" s="5" t="s">
        <v>109</v>
      </c>
      <c r="J13" s="6" t="s">
        <v>18</v>
      </c>
    </row>
    <row r="14" spans="1:10" ht="25.5" x14ac:dyDescent="0.25">
      <c r="A14" s="4">
        <v>7</v>
      </c>
      <c r="B14" s="4" t="s">
        <v>110</v>
      </c>
      <c r="C14" s="5" t="s">
        <v>111</v>
      </c>
      <c r="D14" s="6">
        <v>5</v>
      </c>
      <c r="E14" s="4" t="s">
        <v>15</v>
      </c>
      <c r="F14" s="7">
        <v>12000</v>
      </c>
      <c r="G14" s="7">
        <f>D14*F14</f>
        <v>60000</v>
      </c>
      <c r="H14" s="8" t="s">
        <v>112</v>
      </c>
      <c r="I14" s="5" t="s">
        <v>113</v>
      </c>
      <c r="J14" s="6" t="s">
        <v>18</v>
      </c>
    </row>
    <row r="15" spans="1:10" x14ac:dyDescent="0.25">
      <c r="A15" s="4">
        <v>8</v>
      </c>
      <c r="B15" s="4" t="s">
        <v>110</v>
      </c>
      <c r="C15" s="5" t="s">
        <v>114</v>
      </c>
      <c r="D15" s="6">
        <v>1</v>
      </c>
      <c r="E15" s="4" t="s">
        <v>20</v>
      </c>
      <c r="F15" s="7">
        <v>250000</v>
      </c>
      <c r="G15" s="7">
        <f>D15*F15</f>
        <v>250000</v>
      </c>
      <c r="H15" s="8" t="s">
        <v>21</v>
      </c>
      <c r="I15" s="5" t="s">
        <v>115</v>
      </c>
      <c r="J15" s="6" t="s">
        <v>18</v>
      </c>
    </row>
    <row r="16" spans="1:10" ht="25.5" x14ac:dyDescent="0.25">
      <c r="A16" s="4">
        <v>9</v>
      </c>
      <c r="B16" s="4" t="s">
        <v>116</v>
      </c>
      <c r="C16" s="5" t="s">
        <v>117</v>
      </c>
      <c r="D16" s="6">
        <v>4</v>
      </c>
      <c r="E16" s="4" t="s">
        <v>15</v>
      </c>
      <c r="F16" s="7">
        <v>15000</v>
      </c>
      <c r="G16" s="7">
        <f>D16*F16</f>
        <v>60000</v>
      </c>
      <c r="H16" s="8" t="s">
        <v>118</v>
      </c>
      <c r="I16" s="5" t="s">
        <v>119</v>
      </c>
      <c r="J16" s="6" t="s">
        <v>18</v>
      </c>
    </row>
    <row r="17" spans="1:10" x14ac:dyDescent="0.25">
      <c r="A17" s="16" t="s">
        <v>79</v>
      </c>
      <c r="B17" s="15"/>
      <c r="C17" s="15"/>
      <c r="D17" s="15"/>
      <c r="E17" s="15"/>
      <c r="F17" s="15"/>
      <c r="G17" s="10">
        <f>SUM(G5:G16)</f>
        <v>9090000</v>
      </c>
      <c r="H17" s="11"/>
      <c r="I17" s="11"/>
      <c r="J17" s="11"/>
    </row>
  </sheetData>
  <mergeCells count="4">
    <mergeCell ref="A5:J5"/>
    <mergeCell ref="A9:J9"/>
    <mergeCell ref="A17:F17"/>
    <mergeCell ref="A12:J12"/>
  </mergeCells>
  <hyperlinks>
    <hyperlink ref="H6" r:id="rId1" xr:uid="{00000000-0004-0000-0100-000000000000}"/>
    <hyperlink ref="H7" r:id="rId2" xr:uid="{00000000-0004-0000-0100-000001000000}"/>
    <hyperlink ref="H8" r:id="rId3" xr:uid="{00000000-0004-0000-0100-000002000000}"/>
    <hyperlink ref="H10" r:id="rId4" xr:uid="{00000000-0004-0000-0100-000003000000}"/>
    <hyperlink ref="H11" r:id="rId5" xr:uid="{00000000-0004-0000-0100-000004000000}"/>
    <hyperlink ref="H13" r:id="rId6" xr:uid="{00000000-0004-0000-0100-000005000000}"/>
    <hyperlink ref="H14" r:id="rId7" xr:uid="{00000000-0004-0000-0100-000006000000}"/>
    <hyperlink ref="H15" r:id="rId8" xr:uid="{00000000-0004-0000-0100-000007000000}"/>
    <hyperlink ref="H16" r:id="rId9" xr:uid="{00000000-0004-0000-0100-000008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30"/>
  <sheetViews>
    <sheetView showGridLines="0" workbookViewId="0"/>
  </sheetViews>
  <sheetFormatPr defaultRowHeight="15" x14ac:dyDescent="0.25"/>
  <cols>
    <col min="1" max="1" width="4" customWidth="1"/>
    <col min="2" max="2" width="30" customWidth="1"/>
    <col min="3" max="3" width="110" customWidth="1"/>
  </cols>
  <sheetData>
    <row r="1" spans="2:3" ht="24" customHeight="1" x14ac:dyDescent="0.25">
      <c r="B1" s="17" t="s">
        <v>120</v>
      </c>
      <c r="C1" s="18"/>
    </row>
    <row r="3" spans="2:3" ht="25.5" x14ac:dyDescent="0.25">
      <c r="B3" s="12" t="s">
        <v>121</v>
      </c>
      <c r="C3" s="13" t="s">
        <v>122</v>
      </c>
    </row>
    <row r="4" spans="2:3" ht="25.5" x14ac:dyDescent="0.25">
      <c r="B4" s="12" t="s">
        <v>123</v>
      </c>
      <c r="C4" s="13" t="s">
        <v>124</v>
      </c>
    </row>
    <row r="5" spans="2:3" ht="25.5" x14ac:dyDescent="0.25">
      <c r="B5" s="12" t="s">
        <v>125</v>
      </c>
      <c r="C5" s="13" t="s">
        <v>126</v>
      </c>
    </row>
    <row r="6" spans="2:3" x14ac:dyDescent="0.25">
      <c r="B6" s="12" t="s">
        <v>127</v>
      </c>
      <c r="C6" s="13" t="s">
        <v>128</v>
      </c>
    </row>
    <row r="7" spans="2:3" ht="25.5" x14ac:dyDescent="0.25">
      <c r="B7" s="12" t="s">
        <v>129</v>
      </c>
      <c r="C7" s="13" t="s">
        <v>130</v>
      </c>
    </row>
    <row r="8" spans="2:3" ht="24" customHeight="1" x14ac:dyDescent="0.25">
      <c r="B8" s="17" t="s">
        <v>131</v>
      </c>
      <c r="C8" s="18"/>
    </row>
    <row r="10" spans="2:3" x14ac:dyDescent="0.25">
      <c r="B10" s="12" t="s">
        <v>132</v>
      </c>
      <c r="C10" s="13" t="s">
        <v>133</v>
      </c>
    </row>
    <row r="11" spans="2:3" x14ac:dyDescent="0.25">
      <c r="B11" s="12" t="s">
        <v>134</v>
      </c>
      <c r="C11" s="13" t="s">
        <v>135</v>
      </c>
    </row>
    <row r="12" spans="2:3" x14ac:dyDescent="0.25">
      <c r="B12" s="12" t="s">
        <v>136</v>
      </c>
      <c r="C12" s="13" t="s">
        <v>137</v>
      </c>
    </row>
    <row r="13" spans="2:3" x14ac:dyDescent="0.25">
      <c r="B13" s="12" t="s">
        <v>138</v>
      </c>
      <c r="C13" s="13" t="s">
        <v>139</v>
      </c>
    </row>
    <row r="14" spans="2:3" x14ac:dyDescent="0.25">
      <c r="B14" s="12" t="s">
        <v>140</v>
      </c>
      <c r="C14" s="13" t="s">
        <v>141</v>
      </c>
    </row>
    <row r="15" spans="2:3" ht="24" customHeight="1" x14ac:dyDescent="0.25">
      <c r="B15" s="17" t="s">
        <v>142</v>
      </c>
      <c r="C15" s="18"/>
    </row>
    <row r="17" spans="2:3" ht="25.5" x14ac:dyDescent="0.25">
      <c r="B17" s="12" t="s">
        <v>143</v>
      </c>
      <c r="C17" s="13" t="s">
        <v>144</v>
      </c>
    </row>
    <row r="18" spans="2:3" ht="38.25" x14ac:dyDescent="0.25">
      <c r="B18" s="12" t="s">
        <v>145</v>
      </c>
      <c r="C18" s="13" t="s">
        <v>146</v>
      </c>
    </row>
    <row r="19" spans="2:3" ht="24" customHeight="1" x14ac:dyDescent="0.25">
      <c r="B19" s="17" t="s">
        <v>147</v>
      </c>
      <c r="C19" s="18"/>
    </row>
    <row r="21" spans="2:3" ht="25.5" x14ac:dyDescent="0.25">
      <c r="B21" s="12" t="s">
        <v>148</v>
      </c>
      <c r="C21" s="13" t="s">
        <v>149</v>
      </c>
    </row>
    <row r="22" spans="2:3" ht="25.5" x14ac:dyDescent="0.25">
      <c r="B22" s="12" t="s">
        <v>150</v>
      </c>
      <c r="C22" s="13" t="s">
        <v>151</v>
      </c>
    </row>
    <row r="23" spans="2:3" x14ac:dyDescent="0.25">
      <c r="B23" s="12" t="s">
        <v>152</v>
      </c>
      <c r="C23" s="13" t="s">
        <v>153</v>
      </c>
    </row>
    <row r="24" spans="2:3" ht="24" customHeight="1" x14ac:dyDescent="0.25">
      <c r="B24" s="17" t="s">
        <v>154</v>
      </c>
      <c r="C24" s="18"/>
    </row>
    <row r="26" spans="2:3" x14ac:dyDescent="0.25">
      <c r="B26" s="12" t="s">
        <v>155</v>
      </c>
      <c r="C26" s="13" t="s">
        <v>156</v>
      </c>
    </row>
    <row r="27" spans="2:3" x14ac:dyDescent="0.25">
      <c r="B27" s="12" t="s">
        <v>157</v>
      </c>
      <c r="C27" s="13" t="s">
        <v>158</v>
      </c>
    </row>
    <row r="28" spans="2:3" ht="25.5" x14ac:dyDescent="0.25">
      <c r="B28" s="12" t="s">
        <v>159</v>
      </c>
      <c r="C28" s="13" t="s">
        <v>160</v>
      </c>
    </row>
    <row r="30" spans="2:3" x14ac:dyDescent="0.25">
      <c r="B30" s="19" t="s">
        <v>161</v>
      </c>
      <c r="C30" s="20"/>
    </row>
  </sheetData>
  <mergeCells count="6">
    <mergeCell ref="B24:C24"/>
    <mergeCell ref="B30:C30"/>
    <mergeCell ref="B15:C15"/>
    <mergeCell ref="B19:C19"/>
    <mergeCell ref="B1:C1"/>
    <mergeCell ref="B8:C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ĐỢT 1 - Mua ngay</vt:lpstr>
      <vt:lpstr>ĐỢT 2 - Hoãn được</vt:lpstr>
      <vt:lpstr>LƯU Ý QUAN TRỌNG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Huynh Phạm</cp:lastModifiedBy>
  <dcterms:created xsi:type="dcterms:W3CDTF">2026-09-05T05:28:02Z</dcterms:created>
  <dcterms:modified xsi:type="dcterms:W3CDTF">2026-09-05T17:46:00Z</dcterms:modified>
</cp:coreProperties>
</file>